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UMENTS\NOIDUNG_GIANGDAY\CMU\CAPSTONE_THANG_08_2023\DS_CAPSTONE_2023_FINAL_27082023\MAU_DANHGIA\"/>
    </mc:Choice>
  </mc:AlternateContent>
  <xr:revisionPtr revIDLastSave="0" documentId="13_ncr:1_{FCA3287E-2B00-4E5C-84DC-6B5366A4AEB4}" xr6:coauthVersionLast="46" xr6:coauthVersionMax="46" xr10:uidLastSave="{00000000-0000-0000-0000-000000000000}"/>
  <bookViews>
    <workbookView xWindow="-110" yWindow="-110" windowWidth="19420" windowHeight="10300" xr2:uid="{00000000-000D-0000-FFFF-FFFF00000000}"/>
  </bookViews>
  <sheets>
    <sheet name="EvaluationForm" sheetId="1" r:id="rId1"/>
    <sheet name="Mentor comment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I26" i="1"/>
  <c r="F28" i="1" l="1"/>
  <c r="G28" i="1"/>
  <c r="H28" i="1"/>
  <c r="I28" i="1"/>
  <c r="F26" i="1"/>
  <c r="G26" i="1"/>
  <c r="H26" i="1"/>
  <c r="E26" i="1"/>
  <c r="D24" i="1"/>
  <c r="D22" i="1"/>
  <c r="D20" i="1"/>
  <c r="D18" i="1"/>
  <c r="I31" i="1" l="1"/>
  <c r="G31" i="1"/>
  <c r="E31" i="1"/>
  <c r="F31" i="1"/>
  <c r="H31" i="1"/>
  <c r="J31" i="1"/>
</calcChain>
</file>

<file path=xl/sharedStrings.xml><?xml version="1.0" encoding="utf-8"?>
<sst xmlns="http://schemas.openxmlformats.org/spreadsheetml/2006/main" count="78" uniqueCount="65">
  <si>
    <t>DUY TAN UNIVERSITY</t>
  </si>
  <si>
    <t>INTERNATIONAL SCHOOL</t>
  </si>
  <si>
    <t>Capstone Project Grading Sheet</t>
  </si>
  <si>
    <t>Project:</t>
  </si>
  <si>
    <t>Sponsor:</t>
  </si>
  <si>
    <t>Evaluator/Mentor:</t>
  </si>
  <si>
    <t>Team Member 1:</t>
  </si>
  <si>
    <t>Nhân</t>
  </si>
  <si>
    <t>Code:</t>
  </si>
  <si>
    <t>Team Member 2:</t>
  </si>
  <si>
    <t>Phương</t>
  </si>
  <si>
    <t>Team Member 3:</t>
  </si>
  <si>
    <t>Team Member 4:</t>
  </si>
  <si>
    <t>Hà</t>
  </si>
  <si>
    <t>Team Member 5:</t>
  </si>
  <si>
    <t>Deliverable</t>
  </si>
  <si>
    <t>Criteria</t>
  </si>
  <si>
    <t>Point</t>
  </si>
  <si>
    <t>Team</t>
  </si>
  <si>
    <t>Team member</t>
  </si>
  <si>
    <t>Note</t>
  </si>
  <si>
    <t>Scale 1-10</t>
  </si>
  <si>
    <t>Software Engineering Practices (20%)</t>
  </si>
  <si>
    <t>Use of software engineering “good” practices from courses to create good quality product</t>
  </si>
  <si>
    <t>Grade of SEP</t>
  </si>
  <si>
    <t>Ideas and proposed solutions
(20%)</t>
  </si>
  <si>
    <t>Grade of IPS</t>
  </si>
  <si>
    <t>Software process (10%)</t>
  </si>
  <si>
    <t>Grade of SP</t>
  </si>
  <si>
    <t>Artifacts (20%)</t>
  </si>
  <si>
    <t>Grade of Artifacts</t>
  </si>
  <si>
    <t>Teamwork and Communication (20%)</t>
  </si>
  <si>
    <t>Timeliness, attendance, teamwork, communication (spoken/written), professionalism (team first, ethics, positive attitude, proactive, self-starter, courteous), participation in studio roles</t>
  </si>
  <si>
    <t>Grades of Communication</t>
  </si>
  <si>
    <t xml:space="preserve">Presentation (10%)
</t>
  </si>
  <si>
    <t>Visual aids, overall organization, handling questions and lesson learned.</t>
  </si>
  <si>
    <t>Grade of Presentation</t>
  </si>
  <si>
    <t>Contribution(*)</t>
  </si>
  <si>
    <t>Team member contributed significantly to team's success (%)</t>
  </si>
  <si>
    <t>Final Grade</t>
  </si>
  <si>
    <t>Comments</t>
  </si>
  <si>
    <t>Note: if Grade of (*) is zero, team member will get grade F</t>
  </si>
  <si>
    <t>Date</t>
  </si>
  <si>
    <t>Signature of Evaluator</t>
  </si>
  <si>
    <t>(for SE, MIS disciplines)</t>
  </si>
  <si>
    <t>Propose new ideas, new solutions or apply new trending technologies, project constraint consideration.</t>
  </si>
  <si>
    <t>Documentation, process improvement, time tracking, meeting management, web page/existence/ adherence to processes, software standards.</t>
  </si>
  <si>
    <t>SRS/ PB, SOW, SPMP, Standards, Minutes, etc. Look at clarity, and usefulness. Also look for teams producing just for impressing mentors</t>
  </si>
  <si>
    <t>Mentor Comments</t>
  </si>
  <si>
    <t>Team Member 1</t>
  </si>
  <si>
    <t>Team Member 2</t>
  </si>
  <si>
    <t>Team Member 3</t>
  </si>
  <si>
    <t>Team Member 4</t>
  </si>
  <si>
    <t>Team Member 5</t>
  </si>
  <si>
    <t>No.</t>
  </si>
  <si>
    <t>Full name</t>
  </si>
  <si>
    <t>Date:…../….../….....</t>
  </si>
  <si>
    <t>Nguyễn Đức Mận</t>
  </si>
  <si>
    <t>Project name</t>
  </si>
  <si>
    <r>
      <t xml:space="preserve">Group code: </t>
    </r>
    <r>
      <rPr>
        <sz val="16"/>
        <color rgb="FFFF0000"/>
        <rFont val="Times New Roman"/>
        <family val="1"/>
      </rPr>
      <t>C1SE.14</t>
    </r>
  </si>
  <si>
    <t>comments</t>
  </si>
  <si>
    <t>Team Member 1</t>
  </si>
  <si>
    <t>Team Member 2</t>
  </si>
  <si>
    <t>Team Member 3</t>
  </si>
  <si>
    <t>Team Member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</si>
</sst>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6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3"/>
      <color rgb="FFFF0000"/>
      <name val="Times New Roman"/>
      <family val="1"/>
    </font>
    <font>
      <sz val="16"/>
      <color rgb="FFFF0000"/>
      <name val="Times New Roman"/>
      <family val="1"/>
    </font>
    <font>
      <b/>
      <sz val="13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/>
    <xf numFmtId="0" fontId="1" fillId="0" borderId="2" xfId="0" applyFont="1" applyBorder="1"/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quotePrefix="1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4" fillId="3" borderId="4" xfId="0" applyFont="1" applyFill="1" applyBorder="1"/>
    <xf numFmtId="0" fontId="1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5" fillId="0" borderId="4" xfId="0" applyFont="1" applyBorder="1"/>
    <xf numFmtId="9" fontId="3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/>
    <xf numFmtId="164" fontId="3" fillId="3" borderId="4" xfId="0" applyNumberFormat="1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6" fillId="0" borderId="0" xfId="0" applyFont="1"/>
    <xf numFmtId="0" fontId="1" fillId="0" borderId="13" xfId="0" quotePrefix="1" applyFont="1" applyBorder="1"/>
    <xf numFmtId="0" fontId="6" fillId="0" borderId="13" xfId="0" applyFont="1" applyBorder="1"/>
    <xf numFmtId="0" fontId="1" fillId="0" borderId="13" xfId="0" applyFont="1" applyBorder="1"/>
    <xf numFmtId="14" fontId="3" fillId="0" borderId="14" xfId="0" applyNumberFormat="1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0" xfId="0" applyFont="1"/>
    <xf numFmtId="14" fontId="7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1" fillId="4" borderId="1" xfId="0" applyFont="1" applyFill="1" applyBorder="1"/>
    <xf numFmtId="0" fontId="10" fillId="4" borderId="2" xfId="0" applyFont="1" applyFill="1" applyBorder="1"/>
    <xf numFmtId="0" fontId="14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2" xfId="0" quotePrefix="1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9" fontId="1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showGridLines="0" tabSelected="1" zoomScale="85" zoomScaleNormal="85" workbookViewId="0">
      <selection activeCell="B6" sqref="B6:I6"/>
    </sheetView>
  </sheetViews>
  <sheetFormatPr defaultColWidth="9.1796875" defaultRowHeight="14" x14ac:dyDescent="0.3"/>
  <cols>
    <col min="1" max="1" width="19.81640625" style="1" customWidth="1"/>
    <col min="2" max="2" width="37.7265625" style="1" customWidth="1"/>
    <col min="3" max="3" width="7.1796875" style="1" hidden="1" customWidth="1"/>
    <col min="4" max="5" width="8.1796875" style="1" customWidth="1"/>
    <col min="6" max="6" width="6" style="1" customWidth="1"/>
    <col min="7" max="9" width="6.453125" style="1" customWidth="1"/>
    <col min="10" max="10" width="9.1796875" style="1" hidden="1" customWidth="1"/>
    <col min="11" max="16384" width="9.1796875" style="1"/>
  </cols>
  <sheetData>
    <row r="1" spans="1:10" x14ac:dyDescent="0.3">
      <c r="A1" s="1" t="s">
        <v>0</v>
      </c>
    </row>
    <row r="2" spans="1:10" x14ac:dyDescent="0.3">
      <c r="A2" s="1" t="s">
        <v>1</v>
      </c>
    </row>
    <row r="3" spans="1:10" ht="20" x14ac:dyDescent="0.4">
      <c r="B3" s="75" t="s">
        <v>2</v>
      </c>
      <c r="C3" s="75"/>
      <c r="D3" s="75"/>
      <c r="E3" s="75"/>
      <c r="F3" s="75"/>
    </row>
    <row r="4" spans="1:10" x14ac:dyDescent="0.3">
      <c r="B4" s="73" t="s">
        <v>44</v>
      </c>
      <c r="C4" s="73"/>
      <c r="D4" s="73"/>
      <c r="E4" s="73"/>
    </row>
    <row r="5" spans="1:10" x14ac:dyDescent="0.3">
      <c r="B5" s="2"/>
    </row>
    <row r="6" spans="1:10" x14ac:dyDescent="0.3">
      <c r="A6" s="3" t="s">
        <v>3</v>
      </c>
      <c r="B6" s="60" t="s">
        <v>58</v>
      </c>
      <c r="C6" s="60"/>
      <c r="D6" s="60"/>
      <c r="E6" s="60"/>
      <c r="F6" s="60"/>
      <c r="G6" s="60"/>
      <c r="H6" s="60"/>
      <c r="I6" s="60"/>
    </row>
    <row r="7" spans="1:10" x14ac:dyDescent="0.3">
      <c r="A7" s="3" t="s">
        <v>4</v>
      </c>
      <c r="B7" s="61"/>
      <c r="C7" s="61"/>
      <c r="D7" s="61"/>
      <c r="E7" s="61"/>
      <c r="F7" s="61"/>
      <c r="G7" s="61"/>
      <c r="H7" s="61"/>
      <c r="I7" s="61"/>
    </row>
    <row r="8" spans="1:10" x14ac:dyDescent="0.3">
      <c r="A8" s="3" t="s">
        <v>5</v>
      </c>
      <c r="B8" s="50" t="s">
        <v>57</v>
      </c>
    </row>
    <row r="9" spans="1:10" x14ac:dyDescent="0.3">
      <c r="A9" s="3" t="s">
        <v>6</v>
      </c>
      <c r="B9" s="51" t="s">
        <v>61</v>
      </c>
      <c r="C9" s="5" t="s">
        <v>7</v>
      </c>
      <c r="D9" s="1" t="s">
        <v>8</v>
      </c>
      <c r="E9" s="62">
        <v>25211205249</v>
      </c>
      <c r="F9" s="62"/>
      <c r="G9" s="6"/>
      <c r="H9" s="6"/>
      <c r="I9" s="6"/>
    </row>
    <row r="10" spans="1:10" x14ac:dyDescent="0.3">
      <c r="A10" s="3" t="s">
        <v>9</v>
      </c>
      <c r="B10" s="51" t="s">
        <v>62</v>
      </c>
      <c r="C10" s="5" t="s">
        <v>10</v>
      </c>
      <c r="D10" s="1" t="s">
        <v>8</v>
      </c>
      <c r="E10" s="63">
        <v>24211205249</v>
      </c>
      <c r="F10" s="62"/>
      <c r="G10" s="6"/>
      <c r="H10" s="6"/>
      <c r="I10" s="6"/>
    </row>
    <row r="11" spans="1:10" x14ac:dyDescent="0.3">
      <c r="A11" s="3" t="s">
        <v>11</v>
      </c>
      <c r="B11" s="51" t="s">
        <v>63</v>
      </c>
      <c r="C11" s="5" t="s">
        <v>10</v>
      </c>
      <c r="D11" s="1" t="s">
        <v>8</v>
      </c>
      <c r="E11" s="62">
        <v>25211205248</v>
      </c>
      <c r="F11" s="62"/>
      <c r="G11" s="6"/>
      <c r="H11" s="6"/>
      <c r="I11" s="6"/>
    </row>
    <row r="12" spans="1:10" x14ac:dyDescent="0.3">
      <c r="A12" s="3" t="s">
        <v>12</v>
      </c>
      <c r="B12" s="51" t="s">
        <v>64</v>
      </c>
      <c r="C12" s="5" t="s">
        <v>13</v>
      </c>
      <c r="D12" s="1" t="s">
        <v>8</v>
      </c>
      <c r="E12" s="62">
        <v>25211205247</v>
      </c>
      <c r="F12" s="62"/>
      <c r="G12" s="6"/>
      <c r="H12" s="6"/>
      <c r="I12" s="6"/>
    </row>
    <row r="13" spans="1:10" x14ac:dyDescent="0.3">
      <c r="A13" s="3" t="s">
        <v>14</v>
      </c>
      <c r="B13" s="4"/>
      <c r="C13" s="5"/>
      <c r="D13" s="1" t="s">
        <v>8</v>
      </c>
      <c r="E13" s="61"/>
      <c r="F13" s="61"/>
      <c r="G13" s="6"/>
      <c r="H13" s="6"/>
      <c r="I13" s="6"/>
    </row>
    <row r="15" spans="1:10" s="2" customFormat="1" x14ac:dyDescent="0.3">
      <c r="A15" s="7" t="s">
        <v>15</v>
      </c>
      <c r="B15" s="7" t="s">
        <v>16</v>
      </c>
      <c r="C15" s="64" t="s">
        <v>17</v>
      </c>
      <c r="D15" s="66" t="s">
        <v>18</v>
      </c>
      <c r="E15" s="68" t="s">
        <v>19</v>
      </c>
      <c r="F15" s="68"/>
      <c r="G15" s="68"/>
      <c r="H15" s="68"/>
      <c r="I15" s="68"/>
      <c r="J15" s="53" t="s">
        <v>20</v>
      </c>
    </row>
    <row r="16" spans="1:10" x14ac:dyDescent="0.3">
      <c r="A16" s="8"/>
      <c r="B16" s="9" t="s">
        <v>21</v>
      </c>
      <c r="C16" s="65"/>
      <c r="D16" s="67"/>
      <c r="E16" s="11">
        <v>1</v>
      </c>
      <c r="F16" s="11">
        <v>2</v>
      </c>
      <c r="G16" s="11">
        <v>3</v>
      </c>
      <c r="H16" s="11">
        <v>4</v>
      </c>
      <c r="I16" s="11">
        <v>5</v>
      </c>
      <c r="J16" s="54"/>
    </row>
    <row r="17" spans="1:10" ht="42.75" customHeight="1" x14ac:dyDescent="0.3">
      <c r="A17" s="55" t="s">
        <v>22</v>
      </c>
      <c r="B17" s="13" t="s">
        <v>23</v>
      </c>
      <c r="C17" s="10"/>
      <c r="D17" s="78">
        <v>9</v>
      </c>
      <c r="E17" s="57"/>
      <c r="F17" s="58"/>
      <c r="G17" s="58"/>
      <c r="H17" s="58"/>
      <c r="I17" s="59"/>
      <c r="J17" s="12"/>
    </row>
    <row r="18" spans="1:10" x14ac:dyDescent="0.3">
      <c r="A18" s="56"/>
      <c r="B18" s="15" t="s">
        <v>24</v>
      </c>
      <c r="C18" s="16"/>
      <c r="D18" s="17">
        <f>D17*20%</f>
        <v>1.8</v>
      </c>
      <c r="E18" s="18"/>
      <c r="F18" s="18"/>
      <c r="G18" s="18"/>
      <c r="H18" s="18"/>
      <c r="I18" s="18"/>
      <c r="J18" s="19"/>
    </row>
    <row r="19" spans="1:10" ht="42.75" customHeight="1" x14ac:dyDescent="0.3">
      <c r="A19" s="55" t="s">
        <v>25</v>
      </c>
      <c r="B19" s="20" t="s">
        <v>45</v>
      </c>
      <c r="C19" s="19"/>
      <c r="D19" s="78">
        <v>9</v>
      </c>
      <c r="E19" s="57"/>
      <c r="F19" s="58"/>
      <c r="G19" s="58"/>
      <c r="H19" s="58"/>
      <c r="I19" s="59"/>
      <c r="J19" s="19"/>
    </row>
    <row r="20" spans="1:10" x14ac:dyDescent="0.3">
      <c r="A20" s="56"/>
      <c r="B20" s="15" t="s">
        <v>26</v>
      </c>
      <c r="C20" s="16"/>
      <c r="D20" s="17">
        <f>D19*20%</f>
        <v>1.8</v>
      </c>
      <c r="E20" s="69"/>
      <c r="F20" s="70"/>
      <c r="G20" s="70"/>
      <c r="H20" s="70"/>
      <c r="I20" s="71"/>
      <c r="J20" s="19"/>
    </row>
    <row r="21" spans="1:10" ht="57.75" customHeight="1" x14ac:dyDescent="0.3">
      <c r="A21" s="55" t="s">
        <v>27</v>
      </c>
      <c r="B21" s="21" t="s">
        <v>46</v>
      </c>
      <c r="C21" s="19"/>
      <c r="D21" s="78">
        <v>9</v>
      </c>
      <c r="E21" s="18"/>
      <c r="F21" s="18"/>
      <c r="G21" s="18"/>
      <c r="H21" s="18"/>
      <c r="I21" s="18"/>
      <c r="J21" s="19"/>
    </row>
    <row r="22" spans="1:10" ht="20.25" customHeight="1" x14ac:dyDescent="0.3">
      <c r="A22" s="56"/>
      <c r="B22" s="15" t="s">
        <v>28</v>
      </c>
      <c r="C22" s="16"/>
      <c r="D22" s="17">
        <f>D21*10%</f>
        <v>0.9</v>
      </c>
      <c r="E22" s="18"/>
      <c r="F22" s="18"/>
      <c r="G22" s="18"/>
      <c r="H22" s="18"/>
      <c r="I22" s="18"/>
      <c r="J22" s="19"/>
    </row>
    <row r="23" spans="1:10" ht="58.5" customHeight="1" x14ac:dyDescent="0.3">
      <c r="A23" s="55" t="s">
        <v>29</v>
      </c>
      <c r="B23" s="20" t="s">
        <v>47</v>
      </c>
      <c r="C23" s="19"/>
      <c r="D23" s="78">
        <v>10</v>
      </c>
      <c r="E23" s="18"/>
      <c r="F23" s="18"/>
      <c r="G23" s="18"/>
      <c r="H23" s="18"/>
      <c r="I23" s="18"/>
      <c r="J23" s="19"/>
    </row>
    <row r="24" spans="1:10" ht="16.5" customHeight="1" x14ac:dyDescent="0.3">
      <c r="A24" s="56"/>
      <c r="B24" s="15" t="s">
        <v>30</v>
      </c>
      <c r="C24" s="16"/>
      <c r="D24" s="17">
        <f>D23*20%</f>
        <v>2</v>
      </c>
      <c r="E24" s="18"/>
      <c r="F24" s="18"/>
      <c r="G24" s="18"/>
      <c r="H24" s="18"/>
      <c r="I24" s="18"/>
      <c r="J24" s="19"/>
    </row>
    <row r="25" spans="1:10" ht="75" customHeight="1" x14ac:dyDescent="0.3">
      <c r="A25" s="55" t="s">
        <v>31</v>
      </c>
      <c r="B25" s="22" t="s">
        <v>32</v>
      </c>
      <c r="C25" s="19"/>
      <c r="D25" s="18"/>
      <c r="E25" s="79">
        <v>10</v>
      </c>
      <c r="F25" s="79">
        <v>10</v>
      </c>
      <c r="G25" s="79">
        <v>10</v>
      </c>
      <c r="H25" s="79">
        <v>10</v>
      </c>
      <c r="I25" s="23"/>
      <c r="J25" s="19"/>
    </row>
    <row r="26" spans="1:10" x14ac:dyDescent="0.3">
      <c r="A26" s="56"/>
      <c r="B26" s="24" t="s">
        <v>33</v>
      </c>
      <c r="C26" s="16"/>
      <c r="D26" s="17"/>
      <c r="E26" s="17">
        <f>E25*20%</f>
        <v>2</v>
      </c>
      <c r="F26" s="17">
        <f t="shared" ref="F26:H26" si="0">F25*20%</f>
        <v>2</v>
      </c>
      <c r="G26" s="17">
        <f t="shared" si="0"/>
        <v>2</v>
      </c>
      <c r="H26" s="17">
        <f t="shared" si="0"/>
        <v>2</v>
      </c>
      <c r="I26" s="17">
        <f>I25*20%</f>
        <v>0</v>
      </c>
      <c r="J26" s="19"/>
    </row>
    <row r="27" spans="1:10" ht="28" x14ac:dyDescent="0.3">
      <c r="A27" s="55" t="s">
        <v>34</v>
      </c>
      <c r="B27" s="20" t="s">
        <v>35</v>
      </c>
      <c r="C27" s="19"/>
      <c r="D27" s="14"/>
      <c r="E27" s="78">
        <v>10</v>
      </c>
      <c r="F27" s="78">
        <v>10</v>
      </c>
      <c r="G27" s="78">
        <v>10</v>
      </c>
      <c r="H27" s="78">
        <v>10</v>
      </c>
      <c r="I27" s="14"/>
      <c r="J27" s="19"/>
    </row>
    <row r="28" spans="1:10" x14ac:dyDescent="0.3">
      <c r="A28" s="56"/>
      <c r="B28" s="15" t="s">
        <v>36</v>
      </c>
      <c r="C28" s="16"/>
      <c r="D28" s="25"/>
      <c r="E28" s="17">
        <f>E27*10%</f>
        <v>1</v>
      </c>
      <c r="F28" s="17">
        <f t="shared" ref="F28:I28" si="1">F27*10%</f>
        <v>1</v>
      </c>
      <c r="G28" s="17">
        <f t="shared" si="1"/>
        <v>1</v>
      </c>
      <c r="H28" s="17">
        <f t="shared" si="1"/>
        <v>1</v>
      </c>
      <c r="I28" s="17">
        <f t="shared" si="1"/>
        <v>0</v>
      </c>
      <c r="J28" s="19"/>
    </row>
    <row r="29" spans="1:10" x14ac:dyDescent="0.3">
      <c r="A29" s="26" t="s">
        <v>37</v>
      </c>
      <c r="B29" s="27" t="s">
        <v>38</v>
      </c>
      <c r="C29" s="19"/>
      <c r="D29" s="23"/>
      <c r="E29" s="80">
        <v>0.95</v>
      </c>
      <c r="F29" s="80">
        <v>1</v>
      </c>
      <c r="G29" s="80">
        <v>0.95</v>
      </c>
      <c r="H29" s="80">
        <v>0.95</v>
      </c>
      <c r="I29" s="28"/>
      <c r="J29" s="19"/>
    </row>
    <row r="30" spans="1:10" x14ac:dyDescent="0.3">
      <c r="A30" s="19"/>
      <c r="B30" s="29"/>
      <c r="C30" s="19"/>
      <c r="D30" s="30"/>
      <c r="E30" s="30"/>
      <c r="F30" s="30"/>
      <c r="G30" s="30"/>
      <c r="H30" s="30"/>
      <c r="I30" s="30"/>
      <c r="J30" s="19"/>
    </row>
    <row r="31" spans="1:10" s="34" customFormat="1" x14ac:dyDescent="0.3">
      <c r="A31" s="7" t="s">
        <v>39</v>
      </c>
      <c r="B31" s="15"/>
      <c r="C31" s="31"/>
      <c r="D31" s="17"/>
      <c r="E31" s="32">
        <f>($D$18+$D$20+$D$22+$D$24+E26+E28)*E29</f>
        <v>9.0250000000000004</v>
      </c>
      <c r="F31" s="32">
        <f>($D$18+$D$20+$D$22+$D$24+F26+F28)*F29</f>
        <v>9.5</v>
      </c>
      <c r="G31" s="32">
        <f>($D$18+$D$20+$D$22+$D$24+G26+G28)*G29</f>
        <v>9.0250000000000004</v>
      </c>
      <c r="H31" s="32">
        <f>($D$18+$D$20+$D$22+$D$24+H26+H28)*H29</f>
        <v>9.0250000000000004</v>
      </c>
      <c r="I31" s="32">
        <f>($D$18+$D$20+$D$22+$D$24+I26+I28)*I29</f>
        <v>0</v>
      </c>
      <c r="J31" s="33" t="e">
        <f>#REF!+I22+I24+J26+J28+J29+I20*J29</f>
        <v>#REF!</v>
      </c>
    </row>
    <row r="32" spans="1:10" ht="9" customHeight="1" x14ac:dyDescent="0.3">
      <c r="B32" s="35"/>
    </row>
    <row r="33" spans="1:9" x14ac:dyDescent="0.3">
      <c r="A33" s="34" t="s">
        <v>40</v>
      </c>
      <c r="B33" s="35"/>
    </row>
    <row r="34" spans="1:9" x14ac:dyDescent="0.3">
      <c r="A34" s="36"/>
      <c r="B34" s="37"/>
      <c r="C34" s="38"/>
      <c r="D34" s="38"/>
      <c r="E34" s="38"/>
      <c r="F34" s="38"/>
      <c r="G34" s="38"/>
      <c r="H34" s="38"/>
      <c r="I34" s="38"/>
    </row>
    <row r="35" spans="1:9" x14ac:dyDescent="0.3">
      <c r="A35" s="36"/>
      <c r="B35" s="37"/>
      <c r="C35" s="38"/>
      <c r="D35" s="38"/>
      <c r="E35" s="38"/>
      <c r="F35" s="38"/>
      <c r="G35" s="38"/>
      <c r="H35" s="38"/>
      <c r="I35" s="38"/>
    </row>
    <row r="36" spans="1:9" x14ac:dyDescent="0.3">
      <c r="A36" s="38"/>
      <c r="B36" s="37"/>
      <c r="C36" s="38"/>
      <c r="D36" s="38"/>
      <c r="E36" s="38"/>
      <c r="F36" s="38"/>
      <c r="G36" s="38"/>
      <c r="H36" s="38"/>
      <c r="I36" s="38"/>
    </row>
    <row r="37" spans="1:9" x14ac:dyDescent="0.3">
      <c r="A37" s="38"/>
      <c r="B37" s="37"/>
      <c r="C37" s="38"/>
      <c r="D37" s="38"/>
      <c r="E37" s="38"/>
      <c r="F37" s="38"/>
      <c r="G37" s="38"/>
      <c r="H37" s="38"/>
      <c r="I37" s="38"/>
    </row>
    <row r="38" spans="1:9" x14ac:dyDescent="0.3">
      <c r="A38" s="38"/>
      <c r="B38" s="37"/>
      <c r="C38" s="38"/>
      <c r="D38" s="38"/>
      <c r="E38" s="38"/>
      <c r="F38" s="38"/>
      <c r="G38" s="38"/>
      <c r="H38" s="38"/>
      <c r="I38" s="38"/>
    </row>
    <row r="39" spans="1:9" x14ac:dyDescent="0.3">
      <c r="A39" s="34" t="s">
        <v>41</v>
      </c>
      <c r="D39" s="39" t="s">
        <v>42</v>
      </c>
      <c r="E39" s="74"/>
      <c r="F39" s="74"/>
    </row>
    <row r="40" spans="1:9" x14ac:dyDescent="0.3">
      <c r="D40" s="73" t="s">
        <v>43</v>
      </c>
      <c r="E40" s="73"/>
      <c r="F40" s="73"/>
    </row>
    <row r="44" spans="1:9" x14ac:dyDescent="0.3">
      <c r="D44" s="72" t="s">
        <v>57</v>
      </c>
      <c r="E44" s="72"/>
      <c r="F44" s="72"/>
    </row>
  </sheetData>
  <mergeCells count="24">
    <mergeCell ref="D44:F44"/>
    <mergeCell ref="D40:F40"/>
    <mergeCell ref="E39:F39"/>
    <mergeCell ref="B3:F3"/>
    <mergeCell ref="B4:E4"/>
    <mergeCell ref="A27:A28"/>
    <mergeCell ref="E13:F13"/>
    <mergeCell ref="C15:C16"/>
    <mergeCell ref="D15:D16"/>
    <mergeCell ref="E15:I15"/>
    <mergeCell ref="A19:A20"/>
    <mergeCell ref="E19:I20"/>
    <mergeCell ref="A21:A22"/>
    <mergeCell ref="A23:A24"/>
    <mergeCell ref="A25:A26"/>
    <mergeCell ref="J15:J16"/>
    <mergeCell ref="A17:A18"/>
    <mergeCell ref="E17:I17"/>
    <mergeCell ref="B6:I6"/>
    <mergeCell ref="B7:I7"/>
    <mergeCell ref="E9:F9"/>
    <mergeCell ref="E10:F10"/>
    <mergeCell ref="E11:F11"/>
    <mergeCell ref="E12:F12"/>
  </mergeCells>
  <printOptions horizontalCentered="1"/>
  <pageMargins left="0.2" right="0.2" top="0.25" bottom="0.25" header="0.05" footer="0.0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E677-DED1-4954-8CF4-05E5915C371B}">
  <dimension ref="A1:J16"/>
  <sheetViews>
    <sheetView zoomScale="70" zoomScaleNormal="70" workbookViewId="0">
      <selection activeCell="G9" sqref="G9"/>
    </sheetView>
  </sheetViews>
  <sheetFormatPr defaultColWidth="9.1796875" defaultRowHeight="16.5" x14ac:dyDescent="0.35"/>
  <cols>
    <col min="1" max="1" width="11.36328125" style="41" customWidth="1"/>
    <col min="2" max="2" width="24.6328125" style="42" customWidth="1"/>
    <col min="3" max="3" width="49.6328125" style="42" customWidth="1"/>
    <col min="4" max="5" width="8.1796875" style="42" customWidth="1"/>
    <col min="6" max="6" width="6" style="42" customWidth="1"/>
    <col min="7" max="9" width="6.453125" style="42" customWidth="1"/>
    <col min="10" max="10" width="9.1796875" style="42" hidden="1" customWidth="1"/>
    <col min="11" max="16384" width="9.1796875" style="42"/>
  </cols>
  <sheetData>
    <row r="1" spans="1:6" ht="20" x14ac:dyDescent="0.4">
      <c r="A1" s="77" t="s">
        <v>48</v>
      </c>
      <c r="B1" s="77"/>
      <c r="C1" s="77"/>
      <c r="D1" s="45"/>
      <c r="E1" s="45"/>
      <c r="F1" s="45"/>
    </row>
    <row r="2" spans="1:6" ht="20.5" x14ac:dyDescent="0.45">
      <c r="A2" s="76" t="s">
        <v>59</v>
      </c>
      <c r="B2" s="76"/>
      <c r="C2" s="76"/>
      <c r="D2" s="40"/>
      <c r="E2" s="40"/>
      <c r="F2" s="40"/>
    </row>
    <row r="3" spans="1:6" x14ac:dyDescent="0.35">
      <c r="C3" s="43"/>
      <c r="D3" s="40"/>
      <c r="E3" s="40"/>
      <c r="F3" s="40"/>
    </row>
    <row r="4" spans="1:6" ht="23" customHeight="1" x14ac:dyDescent="0.35">
      <c r="A4" s="44" t="s">
        <v>54</v>
      </c>
      <c r="B4" s="44" t="s">
        <v>55</v>
      </c>
      <c r="C4" s="44" t="s">
        <v>40</v>
      </c>
    </row>
    <row r="5" spans="1:6" ht="95.5" customHeight="1" x14ac:dyDescent="0.35">
      <c r="A5" s="47">
        <v>1</v>
      </c>
      <c r="B5" s="48" t="s">
        <v>49</v>
      </c>
      <c r="C5" s="49" t="s">
        <v>60</v>
      </c>
    </row>
    <row r="6" spans="1:6" ht="92" customHeight="1" x14ac:dyDescent="0.35">
      <c r="A6" s="47">
        <v>2</v>
      </c>
      <c r="B6" s="48" t="s">
        <v>50</v>
      </c>
      <c r="C6" s="49" t="s">
        <v>60</v>
      </c>
    </row>
    <row r="7" spans="1:6" ht="91" customHeight="1" x14ac:dyDescent="0.35">
      <c r="A7" s="47">
        <v>3</v>
      </c>
      <c r="B7" s="48" t="s">
        <v>51</v>
      </c>
      <c r="C7" s="49" t="s">
        <v>60</v>
      </c>
    </row>
    <row r="8" spans="1:6" ht="105" customHeight="1" x14ac:dyDescent="0.35">
      <c r="A8" s="47">
        <v>4</v>
      </c>
      <c r="B8" s="48" t="s">
        <v>52</v>
      </c>
      <c r="C8" s="49" t="s">
        <v>60</v>
      </c>
    </row>
    <row r="9" spans="1:6" ht="137.5" customHeight="1" x14ac:dyDescent="0.35">
      <c r="A9" s="47">
        <v>5</v>
      </c>
      <c r="B9" s="48" t="s">
        <v>53</v>
      </c>
      <c r="C9" s="49" t="s">
        <v>60</v>
      </c>
    </row>
    <row r="11" spans="1:6" x14ac:dyDescent="0.35">
      <c r="C11" s="46" t="s">
        <v>56</v>
      </c>
    </row>
    <row r="12" spans="1:6" x14ac:dyDescent="0.35">
      <c r="C12" s="40" t="s">
        <v>43</v>
      </c>
    </row>
    <row r="16" spans="1:6" x14ac:dyDescent="0.35">
      <c r="C16" s="52" t="s">
        <v>57</v>
      </c>
    </row>
  </sheetData>
  <mergeCells count="2">
    <mergeCell ref="A2:C2"/>
    <mergeCell ref="A1:C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EvaluationForm</vt:lpstr>
      <vt:lpstr>Mentor 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mannd</dc:creator>
  <cp:lastModifiedBy>ASUS</cp:lastModifiedBy>
  <cp:lastPrinted>2022-12-08T09:31:02Z</cp:lastPrinted>
  <dcterms:created xsi:type="dcterms:W3CDTF">2021-03-01T08:42:09Z</dcterms:created>
  <dcterms:modified xsi:type="dcterms:W3CDTF">2023-12-21T12:53:22Z</dcterms:modified>
</cp:coreProperties>
</file>